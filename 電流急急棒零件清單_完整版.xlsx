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課程資料區\1.電流急急棒\學員資料\"/>
    </mc:Choice>
  </mc:AlternateContent>
  <xr:revisionPtr revIDLastSave="0" documentId="13_ncr:1_{A854BB7E-DE45-4B6F-8AE4-15FCD2F9E4AB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電流急急棒零件清單" sheetId="4" r:id="rId1"/>
    <sheet name="電流急急棒零件清單 _排板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G25" i="2"/>
  <c r="G13" i="2"/>
  <c r="G14" i="2"/>
  <c r="G15" i="2"/>
  <c r="G16" i="2"/>
  <c r="G17" i="2"/>
  <c r="G18" i="2"/>
  <c r="G19" i="2"/>
  <c r="G20" i="2"/>
  <c r="G21" i="2"/>
  <c r="G22" i="2"/>
  <c r="G23" i="2"/>
  <c r="G24" i="2"/>
  <c r="G4" i="2"/>
  <c r="G5" i="2"/>
  <c r="G6" i="2"/>
  <c r="G7" i="2"/>
  <c r="G8" i="2"/>
  <c r="G9" i="2"/>
  <c r="G10" i="2"/>
  <c r="G11" i="2"/>
  <c r="G12" i="2"/>
  <c r="G3" i="2"/>
  <c r="G2" i="2"/>
  <c r="G27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<sst xmlns="http://schemas.openxmlformats.org/spreadsheetml/2006/main" count="112" uniqueCount="67">
  <si>
    <t>圖片</t>
  </si>
  <si>
    <t>零件名稱</t>
  </si>
  <si>
    <t>數量</t>
  </si>
  <si>
    <t>三極體</t>
  </si>
  <si>
    <t>上蓋</t>
  </si>
  <si>
    <t>二極體</t>
  </si>
  <si>
    <t>底蓋</t>
  </si>
  <si>
    <t>手柄</t>
  </si>
  <si>
    <t>手柄上殼</t>
  </si>
  <si>
    <t>按鈕</t>
  </si>
  <si>
    <t>數碼管模組</t>
  </si>
  <si>
    <t>數碼管蓋子</t>
  </si>
  <si>
    <t>杜邦線</t>
  </si>
  <si>
    <t>熊爸</t>
  </si>
  <si>
    <t>終點勾</t>
  </si>
  <si>
    <t>螺絲</t>
  </si>
  <si>
    <t>鐵絲</t>
  </si>
  <si>
    <t>鐵絲勾</t>
  </si>
  <si>
    <t>電阻五環210歐姆正負1%</t>
  </si>
  <si>
    <t>電阻四環1K歐姆正負5%</t>
  </si>
  <si>
    <t>麵包板(大)</t>
  </si>
  <si>
    <t>麵包板(小)</t>
  </si>
  <si>
    <t>整組</t>
    <phoneticPr fontId="3" type="noConversion"/>
  </si>
  <si>
    <t>rgb_LED</t>
    <phoneticPr fontId="3" type="noConversion"/>
  </si>
  <si>
    <t>機械按鈕</t>
    <phoneticPr fontId="3" type="noConversion"/>
  </si>
  <si>
    <t>規格</t>
    <phoneticPr fontId="3" type="noConversion"/>
  </si>
  <si>
    <t>Arduino</t>
    <phoneticPr fontId="3" type="noConversion"/>
  </si>
  <si>
    <t>arduino leonardo</t>
    <phoneticPr fontId="3" type="noConversion"/>
  </si>
  <si>
    <t>Micro USB to USB</t>
    <phoneticPr fontId="3" type="noConversion"/>
  </si>
  <si>
    <t>2N2222A</t>
    <phoneticPr fontId="3" type="noConversion"/>
  </si>
  <si>
    <t>1N4007</t>
    <phoneticPr fontId="3" type="noConversion"/>
  </si>
  <si>
    <t>TM1637</t>
    <phoneticPr fontId="3" type="noConversion"/>
  </si>
  <si>
    <t>陶瓷電阻</t>
    <phoneticPr fontId="3" type="noConversion"/>
  </si>
  <si>
    <t>陰極</t>
    <phoneticPr fontId="3" type="noConversion"/>
  </si>
  <si>
    <t>M3*8十字</t>
    <phoneticPr fontId="3" type="noConversion"/>
  </si>
  <si>
    <t>目前購買</t>
    <phoneticPr fontId="3" type="noConversion"/>
  </si>
  <si>
    <t>價格單價(台幣)</t>
    <phoneticPr fontId="3" type="noConversion"/>
  </si>
  <si>
    <t>麵包板(大)</t>
    <phoneticPr fontId="3" type="noConversion"/>
  </si>
  <si>
    <t>1.5M</t>
    <phoneticPr fontId="3" type="noConversion"/>
  </si>
  <si>
    <t>10、15、21、30、40</t>
    <phoneticPr fontId="3" type="noConversion"/>
  </si>
  <si>
    <t>總價</t>
    <phoneticPr fontId="3" type="noConversion"/>
  </si>
  <si>
    <t>蜂鳴器(有源)</t>
    <phoneticPr fontId="3" type="noConversion"/>
  </si>
  <si>
    <t>震動馬達</t>
    <phoneticPr fontId="3" type="noConversion"/>
  </si>
  <si>
    <t>10cm(公公)</t>
    <phoneticPr fontId="3" type="noConversion"/>
  </si>
  <si>
    <t>15cm(公公)</t>
    <phoneticPr fontId="3" type="noConversion"/>
  </si>
  <si>
    <t>30cm(公公)</t>
    <phoneticPr fontId="3" type="noConversion"/>
  </si>
  <si>
    <t>30cm(公母)</t>
    <phoneticPr fontId="3" type="noConversion"/>
  </si>
  <si>
    <t>20m(公母)</t>
    <phoneticPr fontId="3" type="noConversion"/>
  </si>
  <si>
    <t>位置</t>
    <phoneticPr fontId="3" type="noConversion"/>
  </si>
  <si>
    <t>盒子外</t>
    <phoneticPr fontId="3" type="noConversion"/>
  </si>
  <si>
    <t>Micro USB to USB(1.5M)</t>
    <phoneticPr fontId="3" type="noConversion"/>
  </si>
  <si>
    <t>電線保護套</t>
    <phoneticPr fontId="3" type="noConversion"/>
  </si>
  <si>
    <t>A1</t>
    <phoneticPr fontId="3" type="noConversion"/>
  </si>
  <si>
    <t>B2</t>
    <phoneticPr fontId="3" type="noConversion"/>
  </si>
  <si>
    <t>D3</t>
    <phoneticPr fontId="3" type="noConversion"/>
  </si>
  <si>
    <t>C1</t>
    <phoneticPr fontId="3" type="noConversion"/>
  </si>
  <si>
    <t>C2</t>
    <phoneticPr fontId="3" type="noConversion"/>
  </si>
  <si>
    <t>D1</t>
    <phoneticPr fontId="3" type="noConversion"/>
  </si>
  <si>
    <t>B3</t>
    <phoneticPr fontId="3" type="noConversion"/>
  </si>
  <si>
    <t>D2</t>
    <phoneticPr fontId="3" type="noConversion"/>
  </si>
  <si>
    <t>B1</t>
    <phoneticPr fontId="3" type="noConversion"/>
  </si>
  <si>
    <t>A2</t>
    <phoneticPr fontId="3" type="noConversion"/>
  </si>
  <si>
    <t>C3</t>
    <phoneticPr fontId="3" type="noConversion"/>
  </si>
  <si>
    <t>A3</t>
    <phoneticPr fontId="3" type="noConversion"/>
  </si>
  <si>
    <t>螺絲起子</t>
    <phoneticPr fontId="3" type="noConversion"/>
  </si>
  <si>
    <t>細部位置</t>
    <phoneticPr fontId="3" type="noConversion"/>
  </si>
  <si>
    <t>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</si>
</sst>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4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22.png"/><Relationship Id="rId5" Type="http://schemas.openxmlformats.org/officeDocument/2006/relationships/image" Target="../media/image7.png"/><Relationship Id="rId15" Type="http://schemas.openxmlformats.org/officeDocument/2006/relationships/image" Target="../media/image16.png"/><Relationship Id="rId23" Type="http://schemas.openxmlformats.org/officeDocument/2006/relationships/image" Target="../media/image25.png"/><Relationship Id="rId10" Type="http://schemas.openxmlformats.org/officeDocument/2006/relationships/image" Target="../media/image12.png"/><Relationship Id="rId19" Type="http://schemas.openxmlformats.org/officeDocument/2006/relationships/image" Target="../media/image20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5.png"/><Relationship Id="rId2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1</xdr:row>
      <xdr:rowOff>161925</xdr:rowOff>
    </xdr:from>
    <xdr:ext cx="923925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F93CF83-3594-47A3-9B12-A19A5AAE9A3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352425"/>
          <a:ext cx="923925" cy="666750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2</xdr:row>
      <xdr:rowOff>180975</xdr:rowOff>
    </xdr:from>
    <xdr:ext cx="647700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42B8BDA2-576F-49E9-AE96-CA59CF1D0C5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561975"/>
          <a:ext cx="647700" cy="6667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3</xdr:row>
      <xdr:rowOff>266700</xdr:rowOff>
    </xdr:from>
    <xdr:ext cx="1143000" cy="647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66F08412-9E91-42A1-9029-15C7E03A17C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350" y="762000"/>
          <a:ext cx="1143000" cy="64770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4</xdr:row>
      <xdr:rowOff>180975</xdr:rowOff>
    </xdr:from>
    <xdr:ext cx="666750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85ABE2BB-6916-4C87-9050-76814066FF3A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1450" y="942975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5</xdr:row>
      <xdr:rowOff>161925</xdr:rowOff>
    </xdr:from>
    <xdr:ext cx="1066800" cy="666750"/>
    <xdr:pic>
      <xdr:nvPicPr>
        <xdr:cNvPr id="6" name="Image 6" descr="Picture">
          <a:extLst>
            <a:ext uri="{FF2B5EF4-FFF2-40B4-BE49-F238E27FC236}">
              <a16:creationId xmlns:a16="http://schemas.microsoft.com/office/drawing/2014/main" id="{FFD7A859-55D8-4068-85F7-22F09B6D0666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3825" y="1114425"/>
          <a:ext cx="1066800" cy="6667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6</xdr:row>
      <xdr:rowOff>152400</xdr:rowOff>
    </xdr:from>
    <xdr:ext cx="1143000" cy="409575"/>
    <xdr:pic>
      <xdr:nvPicPr>
        <xdr:cNvPr id="7" name="Image 7" descr="Picture">
          <a:extLst>
            <a:ext uri="{FF2B5EF4-FFF2-40B4-BE49-F238E27FC236}">
              <a16:creationId xmlns:a16="http://schemas.microsoft.com/office/drawing/2014/main" id="{6006B1CD-D35B-4C15-8330-E93EB8D14823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4300" y="1295400"/>
          <a:ext cx="1143000" cy="409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7</xdr:row>
      <xdr:rowOff>171450</xdr:rowOff>
    </xdr:from>
    <xdr:ext cx="1143000" cy="485775"/>
    <xdr:pic>
      <xdr:nvPicPr>
        <xdr:cNvPr id="8" name="Image 8" descr="Picture">
          <a:extLst>
            <a:ext uri="{FF2B5EF4-FFF2-40B4-BE49-F238E27FC236}">
              <a16:creationId xmlns:a16="http://schemas.microsoft.com/office/drawing/2014/main" id="{8E1BA76C-E17B-4BAF-BEA0-09F27275CBDF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8100" y="1504950"/>
          <a:ext cx="1143000" cy="4857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8</xdr:row>
      <xdr:rowOff>152400</xdr:rowOff>
    </xdr:from>
    <xdr:ext cx="523875" cy="666750"/>
    <xdr:pic>
      <xdr:nvPicPr>
        <xdr:cNvPr id="9" name="Image 9" descr="Picture">
          <a:extLst>
            <a:ext uri="{FF2B5EF4-FFF2-40B4-BE49-F238E27FC236}">
              <a16:creationId xmlns:a16="http://schemas.microsoft.com/office/drawing/2014/main" id="{0DC26B08-7EA4-41CB-A497-7A5C39EF94D8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61950" y="1676400"/>
          <a:ext cx="523875" cy="6667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9</xdr:row>
      <xdr:rowOff>123825</xdr:rowOff>
    </xdr:from>
    <xdr:ext cx="1028700" cy="666750"/>
    <xdr:pic>
      <xdr:nvPicPr>
        <xdr:cNvPr id="10" name="Image 10" descr="Picture">
          <a:extLst>
            <a:ext uri="{FF2B5EF4-FFF2-40B4-BE49-F238E27FC236}">
              <a16:creationId xmlns:a16="http://schemas.microsoft.com/office/drawing/2014/main" id="{9E985219-A57A-42CC-86A8-1B1D217939B7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5250" y="1838325"/>
          <a:ext cx="1028700" cy="6667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10</xdr:row>
      <xdr:rowOff>200025</xdr:rowOff>
    </xdr:from>
    <xdr:ext cx="1133475" cy="485775"/>
    <xdr:pic>
      <xdr:nvPicPr>
        <xdr:cNvPr id="11" name="Image 11" descr="Picture">
          <a:extLst>
            <a:ext uri="{FF2B5EF4-FFF2-40B4-BE49-F238E27FC236}">
              <a16:creationId xmlns:a16="http://schemas.microsoft.com/office/drawing/2014/main" id="{E0597C07-6E23-41E0-91C5-1A5E724204AF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5250" y="2095500"/>
          <a:ext cx="1133475" cy="485775"/>
        </a:xfrm>
        <a:prstGeom prst="rect">
          <a:avLst/>
        </a:prstGeom>
      </xdr:spPr>
    </xdr:pic>
    <xdr:clientData/>
  </xdr:oneCellAnchor>
  <xdr:oneCellAnchor>
    <xdr:from>
      <xdr:col>0</xdr:col>
      <xdr:colOff>342900</xdr:colOff>
      <xdr:row>16</xdr:row>
      <xdr:rowOff>142875</xdr:rowOff>
    </xdr:from>
    <xdr:ext cx="619125" cy="666750"/>
    <xdr:pic>
      <xdr:nvPicPr>
        <xdr:cNvPr id="12" name="Image 13" descr="Picture">
          <a:extLst>
            <a:ext uri="{FF2B5EF4-FFF2-40B4-BE49-F238E27FC236}">
              <a16:creationId xmlns:a16="http://schemas.microsoft.com/office/drawing/2014/main" id="{19E2E879-0C7A-499C-8851-B18933D6C748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42900" y="3190875"/>
          <a:ext cx="619125" cy="6667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17</xdr:row>
      <xdr:rowOff>209550</xdr:rowOff>
    </xdr:from>
    <xdr:ext cx="857250" cy="666750"/>
    <xdr:pic>
      <xdr:nvPicPr>
        <xdr:cNvPr id="13" name="Image 14" descr="Picture">
          <a:extLst>
            <a:ext uri="{FF2B5EF4-FFF2-40B4-BE49-F238E27FC236}">
              <a16:creationId xmlns:a16="http://schemas.microsoft.com/office/drawing/2014/main" id="{3C2CB11C-0CBA-437E-89AA-AF2FE2BCDA1F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1450" y="3429000"/>
          <a:ext cx="857250" cy="66675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18</xdr:row>
      <xdr:rowOff>142875</xdr:rowOff>
    </xdr:from>
    <xdr:ext cx="523875" cy="666750"/>
    <xdr:pic>
      <xdr:nvPicPr>
        <xdr:cNvPr id="14" name="Image 15" descr="Picture">
          <a:extLst>
            <a:ext uri="{FF2B5EF4-FFF2-40B4-BE49-F238E27FC236}">
              <a16:creationId xmlns:a16="http://schemas.microsoft.com/office/drawing/2014/main" id="{791B83BD-1734-445B-8AC7-5B43D4D4F86C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381000" y="3571875"/>
          <a:ext cx="523875" cy="6667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19</xdr:row>
      <xdr:rowOff>152400</xdr:rowOff>
    </xdr:from>
    <xdr:ext cx="1085850" cy="666750"/>
    <xdr:pic>
      <xdr:nvPicPr>
        <xdr:cNvPr id="15" name="Image 16" descr="Picture">
          <a:extLst>
            <a:ext uri="{FF2B5EF4-FFF2-40B4-BE49-F238E27FC236}">
              <a16:creationId xmlns:a16="http://schemas.microsoft.com/office/drawing/2014/main" id="{C0565700-2FD3-4B2B-9BFB-4E86E343B4CA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04775" y="3771900"/>
          <a:ext cx="1085850" cy="6667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20</xdr:row>
      <xdr:rowOff>180975</xdr:rowOff>
    </xdr:from>
    <xdr:ext cx="1143000" cy="457200"/>
    <xdr:pic>
      <xdr:nvPicPr>
        <xdr:cNvPr id="16" name="Image 17" descr="Picture">
          <a:extLst>
            <a:ext uri="{FF2B5EF4-FFF2-40B4-BE49-F238E27FC236}">
              <a16:creationId xmlns:a16="http://schemas.microsoft.com/office/drawing/2014/main" id="{CFDA413C-BB43-4537-BD61-7CCCB66C3543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42875" y="3990975"/>
          <a:ext cx="1143000" cy="457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21</xdr:row>
      <xdr:rowOff>209550</xdr:rowOff>
    </xdr:from>
    <xdr:ext cx="876300" cy="695325"/>
    <xdr:pic>
      <xdr:nvPicPr>
        <xdr:cNvPr id="17" name="Image 18" descr="Picture">
          <a:extLst>
            <a:ext uri="{FF2B5EF4-FFF2-40B4-BE49-F238E27FC236}">
              <a16:creationId xmlns:a16="http://schemas.microsoft.com/office/drawing/2014/main" id="{35402E26-2D7C-4976-B07A-31C1B9DF1AB4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90500" y="4191000"/>
          <a:ext cx="876300" cy="69532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22</xdr:row>
      <xdr:rowOff>161925</xdr:rowOff>
    </xdr:from>
    <xdr:ext cx="723900" cy="752475"/>
    <xdr:pic>
      <xdr:nvPicPr>
        <xdr:cNvPr id="18" name="Image 19" descr="Picture">
          <a:extLst>
            <a:ext uri="{FF2B5EF4-FFF2-40B4-BE49-F238E27FC236}">
              <a16:creationId xmlns:a16="http://schemas.microsoft.com/office/drawing/2014/main" id="{326A66B0-DF12-449F-8082-7284D774CA38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238125" y="4352925"/>
          <a:ext cx="723900" cy="7524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23</xdr:row>
      <xdr:rowOff>200025</xdr:rowOff>
    </xdr:from>
    <xdr:ext cx="1143000" cy="447675"/>
    <xdr:pic>
      <xdr:nvPicPr>
        <xdr:cNvPr id="19" name="Image 20" descr="Picture">
          <a:extLst>
            <a:ext uri="{FF2B5EF4-FFF2-40B4-BE49-F238E27FC236}">
              <a16:creationId xmlns:a16="http://schemas.microsoft.com/office/drawing/2014/main" id="{11A9B8E9-069A-4067-BC17-225E92EF8D67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57150" y="4572000"/>
          <a:ext cx="1143000" cy="447675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24</xdr:row>
      <xdr:rowOff>104775</xdr:rowOff>
    </xdr:from>
    <xdr:ext cx="762000" cy="666750"/>
    <xdr:pic>
      <xdr:nvPicPr>
        <xdr:cNvPr id="20" name="Image 21" descr="Picture">
          <a:extLst>
            <a:ext uri="{FF2B5EF4-FFF2-40B4-BE49-F238E27FC236}">
              <a16:creationId xmlns:a16="http://schemas.microsoft.com/office/drawing/2014/main" id="{84818D54-BECF-4904-951F-8CB828CC7524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266700" y="4676775"/>
          <a:ext cx="762000" cy="666750"/>
        </a:xfrm>
        <a:prstGeom prst="rect">
          <a:avLst/>
        </a:prstGeom>
      </xdr:spPr>
    </xdr:pic>
    <xdr:clientData/>
  </xdr:oneCellAnchor>
  <xdr:oneCellAnchor>
    <xdr:from>
      <xdr:col>0</xdr:col>
      <xdr:colOff>357187</xdr:colOff>
      <xdr:row>15</xdr:row>
      <xdr:rowOff>209550</xdr:rowOff>
    </xdr:from>
    <xdr:ext cx="666750" cy="666750"/>
    <xdr:pic>
      <xdr:nvPicPr>
        <xdr:cNvPr id="21" name="Image 12" descr="Picture">
          <a:extLst>
            <a:ext uri="{FF2B5EF4-FFF2-40B4-BE49-F238E27FC236}">
              <a16:creationId xmlns:a16="http://schemas.microsoft.com/office/drawing/2014/main" id="{C293D76B-DF33-4F82-9769-D478725EE57D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57187" y="3048000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252412</xdr:colOff>
      <xdr:row>14</xdr:row>
      <xdr:rowOff>109538</xdr:rowOff>
    </xdr:from>
    <xdr:ext cx="666750" cy="666750"/>
    <xdr:pic>
      <xdr:nvPicPr>
        <xdr:cNvPr id="22" name="Image 12" descr="Picture">
          <a:extLst>
            <a:ext uri="{FF2B5EF4-FFF2-40B4-BE49-F238E27FC236}">
              <a16:creationId xmlns:a16="http://schemas.microsoft.com/office/drawing/2014/main" id="{DEF4FFE3-62B4-4C43-A20F-BFB075DD0DCD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52412" y="2776538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290512</xdr:colOff>
      <xdr:row>13</xdr:row>
      <xdr:rowOff>209550</xdr:rowOff>
    </xdr:from>
    <xdr:ext cx="666750" cy="666750"/>
    <xdr:pic>
      <xdr:nvPicPr>
        <xdr:cNvPr id="23" name="Image 12" descr="Picture">
          <a:extLst>
            <a:ext uri="{FF2B5EF4-FFF2-40B4-BE49-F238E27FC236}">
              <a16:creationId xmlns:a16="http://schemas.microsoft.com/office/drawing/2014/main" id="{1390148B-AAAB-4FCC-BD02-C4CFD539E5C3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90512" y="2667000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300038</xdr:colOff>
      <xdr:row>12</xdr:row>
      <xdr:rowOff>180975</xdr:rowOff>
    </xdr:from>
    <xdr:ext cx="666750" cy="666750"/>
    <xdr:pic>
      <xdr:nvPicPr>
        <xdr:cNvPr id="24" name="Image 12" descr="Picture">
          <a:extLst>
            <a:ext uri="{FF2B5EF4-FFF2-40B4-BE49-F238E27FC236}">
              <a16:creationId xmlns:a16="http://schemas.microsoft.com/office/drawing/2014/main" id="{794E5018-8409-405B-BD07-8EA808EA08CE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00038" y="2466975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323850</xdr:colOff>
      <xdr:row>11</xdr:row>
      <xdr:rowOff>195263</xdr:rowOff>
    </xdr:from>
    <xdr:ext cx="666750" cy="666750"/>
    <xdr:pic>
      <xdr:nvPicPr>
        <xdr:cNvPr id="25" name="Image 12" descr="Picture">
          <a:extLst>
            <a:ext uri="{FF2B5EF4-FFF2-40B4-BE49-F238E27FC236}">
              <a16:creationId xmlns:a16="http://schemas.microsoft.com/office/drawing/2014/main" id="{4DCF2138-29C9-410F-86C3-8FF9BA9F494A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23850" y="2286000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28</xdr:row>
      <xdr:rowOff>52388</xdr:rowOff>
    </xdr:from>
    <xdr:ext cx="876300" cy="752587"/>
    <xdr:pic>
      <xdr:nvPicPr>
        <xdr:cNvPr id="26" name="圖片 25">
          <a:extLst>
            <a:ext uri="{FF2B5EF4-FFF2-40B4-BE49-F238E27FC236}">
              <a16:creationId xmlns:a16="http://schemas.microsoft.com/office/drawing/2014/main" id="{C9E41C85-FFC7-47BD-A22F-35D618625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0" y="5386388"/>
          <a:ext cx="876300" cy="75258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29</xdr:row>
      <xdr:rowOff>52388</xdr:rowOff>
    </xdr:from>
    <xdr:ext cx="885824" cy="853529"/>
    <xdr:pic>
      <xdr:nvPicPr>
        <xdr:cNvPr id="27" name="圖片 26">
          <a:extLst>
            <a:ext uri="{FF2B5EF4-FFF2-40B4-BE49-F238E27FC236}">
              <a16:creationId xmlns:a16="http://schemas.microsoft.com/office/drawing/2014/main" id="{537A36DF-130F-4BF6-AC6E-FCA578B2F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66700" y="5576888"/>
          <a:ext cx="885824" cy="853529"/>
        </a:xfrm>
        <a:prstGeom prst="rect">
          <a:avLst/>
        </a:prstGeom>
      </xdr:spPr>
    </xdr:pic>
    <xdr:clientData/>
  </xdr:oneCellAnchor>
  <xdr:oneCellAnchor>
    <xdr:from>
      <xdr:col>0</xdr:col>
      <xdr:colOff>257174</xdr:colOff>
      <xdr:row>27</xdr:row>
      <xdr:rowOff>100013</xdr:rowOff>
    </xdr:from>
    <xdr:ext cx="896043" cy="771525"/>
    <xdr:pic>
      <xdr:nvPicPr>
        <xdr:cNvPr id="28" name="圖片 27">
          <a:extLst>
            <a:ext uri="{FF2B5EF4-FFF2-40B4-BE49-F238E27FC236}">
              <a16:creationId xmlns:a16="http://schemas.microsoft.com/office/drawing/2014/main" id="{D482D743-86D7-48AB-9D9D-5CB48EDD5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7174" y="5243513"/>
          <a:ext cx="896043" cy="771525"/>
        </a:xfrm>
        <a:prstGeom prst="rect">
          <a:avLst/>
        </a:prstGeom>
      </xdr:spPr>
    </xdr:pic>
    <xdr:clientData/>
  </xdr:oneCellAnchor>
  <xdr:oneCellAnchor>
    <xdr:from>
      <xdr:col>0</xdr:col>
      <xdr:colOff>219074</xdr:colOff>
      <xdr:row>30</xdr:row>
      <xdr:rowOff>93106</xdr:rowOff>
    </xdr:from>
    <xdr:ext cx="895351" cy="807020"/>
    <xdr:pic>
      <xdr:nvPicPr>
        <xdr:cNvPr id="29" name="圖片 28">
          <a:extLst>
            <a:ext uri="{FF2B5EF4-FFF2-40B4-BE49-F238E27FC236}">
              <a16:creationId xmlns:a16="http://schemas.microsoft.com/office/drawing/2014/main" id="{0F750CC1-60C4-490E-AB0E-E7987494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9074" y="5808106"/>
          <a:ext cx="895351" cy="807020"/>
        </a:xfrm>
        <a:prstGeom prst="rect">
          <a:avLst/>
        </a:prstGeom>
      </xdr:spPr>
    </xdr:pic>
    <xdr:clientData/>
  </xdr:oneCellAnchor>
  <xdr:oneCellAnchor>
    <xdr:from>
      <xdr:col>0</xdr:col>
      <xdr:colOff>328612</xdr:colOff>
      <xdr:row>31</xdr:row>
      <xdr:rowOff>166687</xdr:rowOff>
    </xdr:from>
    <xdr:ext cx="728663" cy="619505"/>
    <xdr:pic>
      <xdr:nvPicPr>
        <xdr:cNvPr id="30" name="圖片 29">
          <a:extLst>
            <a:ext uri="{FF2B5EF4-FFF2-40B4-BE49-F238E27FC236}">
              <a16:creationId xmlns:a16="http://schemas.microsoft.com/office/drawing/2014/main" id="{B4BBD8E5-19AC-4098-A013-54E7F0686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28612" y="6072187"/>
          <a:ext cx="728663" cy="61950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1</xdr:row>
      <xdr:rowOff>161925</xdr:rowOff>
    </xdr:from>
    <xdr:ext cx="923925" cy="6667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D45FC8D-BE70-496F-9EDF-FBEC7461422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775" y="542925"/>
          <a:ext cx="923925" cy="666750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2</xdr:row>
      <xdr:rowOff>180975</xdr:rowOff>
    </xdr:from>
    <xdr:ext cx="647700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B7093232-99D8-4AE4-9AD5-84D216978F92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1571625"/>
          <a:ext cx="647700" cy="666750"/>
        </a:xfrm>
        <a:prstGeom prst="rect">
          <a:avLst/>
        </a:prstGeom>
      </xdr:spPr>
    </xdr:pic>
    <xdr:clientData/>
  </xdr:oneCellAnchor>
  <xdr:oneCellAnchor>
    <xdr:from>
      <xdr:col>0</xdr:col>
      <xdr:colOff>133350</xdr:colOff>
      <xdr:row>12</xdr:row>
      <xdr:rowOff>266700</xdr:rowOff>
    </xdr:from>
    <xdr:ext cx="1143000" cy="6477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B065B15E-B9C8-4680-B9F5-6D673A9B0DFF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33350" y="2667000"/>
          <a:ext cx="1143000" cy="64770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3</xdr:row>
      <xdr:rowOff>180975</xdr:rowOff>
    </xdr:from>
    <xdr:ext cx="666750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92A1D4FA-DEC3-4DF3-8982-341028AB4AD1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1450" y="3590925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123825</xdr:colOff>
      <xdr:row>13</xdr:row>
      <xdr:rowOff>161925</xdr:rowOff>
    </xdr:from>
    <xdr:ext cx="1066800" cy="666750"/>
    <xdr:pic>
      <xdr:nvPicPr>
        <xdr:cNvPr id="6" name="Image 6" descr="Picture">
          <a:extLst>
            <a:ext uri="{FF2B5EF4-FFF2-40B4-BE49-F238E27FC236}">
              <a16:creationId xmlns:a16="http://schemas.microsoft.com/office/drawing/2014/main" id="{1DE0DB39-9CC8-4624-8486-6979CEE299EB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23825" y="4581525"/>
          <a:ext cx="1066800" cy="666750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14</xdr:row>
      <xdr:rowOff>152400</xdr:rowOff>
    </xdr:from>
    <xdr:ext cx="1143000" cy="409575"/>
    <xdr:pic>
      <xdr:nvPicPr>
        <xdr:cNvPr id="7" name="Image 7" descr="Picture">
          <a:extLst>
            <a:ext uri="{FF2B5EF4-FFF2-40B4-BE49-F238E27FC236}">
              <a16:creationId xmlns:a16="http://schemas.microsoft.com/office/drawing/2014/main" id="{B7441A3B-DCE6-4BDC-979D-5384133675F4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4300" y="5581650"/>
          <a:ext cx="1143000" cy="40957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15</xdr:row>
      <xdr:rowOff>171450</xdr:rowOff>
    </xdr:from>
    <xdr:ext cx="1143000" cy="485775"/>
    <xdr:pic>
      <xdr:nvPicPr>
        <xdr:cNvPr id="8" name="Image 8" descr="Picture">
          <a:extLst>
            <a:ext uri="{FF2B5EF4-FFF2-40B4-BE49-F238E27FC236}">
              <a16:creationId xmlns:a16="http://schemas.microsoft.com/office/drawing/2014/main" id="{62233AED-C42A-4B25-838C-38B89F20B0E9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8100" y="6610350"/>
          <a:ext cx="1143000" cy="485775"/>
        </a:xfrm>
        <a:prstGeom prst="rect">
          <a:avLst/>
        </a:prstGeom>
      </xdr:spPr>
    </xdr:pic>
    <xdr:clientData/>
  </xdr:oneCellAnchor>
  <xdr:oneCellAnchor>
    <xdr:from>
      <xdr:col>0</xdr:col>
      <xdr:colOff>361950</xdr:colOff>
      <xdr:row>16</xdr:row>
      <xdr:rowOff>152400</xdr:rowOff>
    </xdr:from>
    <xdr:ext cx="523875" cy="666750"/>
    <xdr:pic>
      <xdr:nvPicPr>
        <xdr:cNvPr id="9" name="Image 9" descr="Picture">
          <a:extLst>
            <a:ext uri="{FF2B5EF4-FFF2-40B4-BE49-F238E27FC236}">
              <a16:creationId xmlns:a16="http://schemas.microsoft.com/office/drawing/2014/main" id="{EDE3B24E-61FC-4B7D-A649-8CBBFFC76F52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61950" y="7600950"/>
          <a:ext cx="523875" cy="6667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4</xdr:row>
      <xdr:rowOff>123825</xdr:rowOff>
    </xdr:from>
    <xdr:ext cx="1028700" cy="666750"/>
    <xdr:pic>
      <xdr:nvPicPr>
        <xdr:cNvPr id="10" name="Image 10" descr="Picture">
          <a:extLst>
            <a:ext uri="{FF2B5EF4-FFF2-40B4-BE49-F238E27FC236}">
              <a16:creationId xmlns:a16="http://schemas.microsoft.com/office/drawing/2014/main" id="{ECE1952F-2298-439E-A29D-F0A7A560D8E3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95250" y="8582025"/>
          <a:ext cx="1028700" cy="666750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17</xdr:row>
      <xdr:rowOff>200025</xdr:rowOff>
    </xdr:from>
    <xdr:ext cx="1133475" cy="485775"/>
    <xdr:pic>
      <xdr:nvPicPr>
        <xdr:cNvPr id="11" name="Image 11" descr="Picture">
          <a:extLst>
            <a:ext uri="{FF2B5EF4-FFF2-40B4-BE49-F238E27FC236}">
              <a16:creationId xmlns:a16="http://schemas.microsoft.com/office/drawing/2014/main" id="{1AFF153B-C0F3-45C7-A457-90BF553F52F3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5250" y="9667875"/>
          <a:ext cx="1133475" cy="48577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11</xdr:row>
      <xdr:rowOff>114300</xdr:rowOff>
    </xdr:from>
    <xdr:ext cx="666750" cy="666750"/>
    <xdr:pic>
      <xdr:nvPicPr>
        <xdr:cNvPr id="12" name="Image 12" descr="Picture">
          <a:extLst>
            <a:ext uri="{FF2B5EF4-FFF2-40B4-BE49-F238E27FC236}">
              <a16:creationId xmlns:a16="http://schemas.microsoft.com/office/drawing/2014/main" id="{67686650-A033-44AD-BD88-274811012584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38125" y="10591800"/>
          <a:ext cx="666750" cy="666750"/>
        </a:xfrm>
        <a:prstGeom prst="rect">
          <a:avLst/>
        </a:prstGeom>
      </xdr:spPr>
    </xdr:pic>
    <xdr:clientData/>
  </xdr:oneCellAnchor>
  <xdr:oneCellAnchor>
    <xdr:from>
      <xdr:col>0</xdr:col>
      <xdr:colOff>333375</xdr:colOff>
      <xdr:row>18</xdr:row>
      <xdr:rowOff>114300</xdr:rowOff>
    </xdr:from>
    <xdr:ext cx="619125" cy="666750"/>
    <xdr:pic>
      <xdr:nvPicPr>
        <xdr:cNvPr id="13" name="Image 13" descr="Picture">
          <a:extLst>
            <a:ext uri="{FF2B5EF4-FFF2-40B4-BE49-F238E27FC236}">
              <a16:creationId xmlns:a16="http://schemas.microsoft.com/office/drawing/2014/main" id="{11BD382A-5F3C-46A4-91EC-593A4985451C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3375" y="17659350"/>
          <a:ext cx="619125" cy="666750"/>
        </a:xfrm>
        <a:prstGeom prst="rect">
          <a:avLst/>
        </a:prstGeom>
      </xdr:spPr>
    </xdr:pic>
    <xdr:clientData/>
  </xdr:oneCellAnchor>
  <xdr:oneCellAnchor>
    <xdr:from>
      <xdr:col>0</xdr:col>
      <xdr:colOff>171450</xdr:colOff>
      <xdr:row>19</xdr:row>
      <xdr:rowOff>209550</xdr:rowOff>
    </xdr:from>
    <xdr:ext cx="857250" cy="666750"/>
    <xdr:pic>
      <xdr:nvPicPr>
        <xdr:cNvPr id="14" name="Image 14" descr="Picture">
          <a:extLst>
            <a:ext uri="{FF2B5EF4-FFF2-40B4-BE49-F238E27FC236}">
              <a16:creationId xmlns:a16="http://schemas.microsoft.com/office/drawing/2014/main" id="{4B7E855B-8376-4B25-A723-23E7882CFD32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1450" y="12706350"/>
          <a:ext cx="857250" cy="666750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20</xdr:row>
      <xdr:rowOff>142875</xdr:rowOff>
    </xdr:from>
    <xdr:ext cx="523875" cy="666750"/>
    <xdr:pic>
      <xdr:nvPicPr>
        <xdr:cNvPr id="15" name="Image 15" descr="Picture">
          <a:extLst>
            <a:ext uri="{FF2B5EF4-FFF2-40B4-BE49-F238E27FC236}">
              <a16:creationId xmlns:a16="http://schemas.microsoft.com/office/drawing/2014/main" id="{4C2DC84F-7B58-4A86-A318-2B2CF7C1322D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381000" y="13649325"/>
          <a:ext cx="523875" cy="666750"/>
        </a:xfrm>
        <a:prstGeom prst="rect">
          <a:avLst/>
        </a:prstGeom>
      </xdr:spPr>
    </xdr:pic>
    <xdr:clientData/>
  </xdr:oneCellAnchor>
  <xdr:oneCellAnchor>
    <xdr:from>
      <xdr:col>0</xdr:col>
      <xdr:colOff>104775</xdr:colOff>
      <xdr:row>21</xdr:row>
      <xdr:rowOff>152400</xdr:rowOff>
    </xdr:from>
    <xdr:ext cx="1085850" cy="666750"/>
    <xdr:pic>
      <xdr:nvPicPr>
        <xdr:cNvPr id="16" name="Image 16" descr="Picture">
          <a:extLst>
            <a:ext uri="{FF2B5EF4-FFF2-40B4-BE49-F238E27FC236}">
              <a16:creationId xmlns:a16="http://schemas.microsoft.com/office/drawing/2014/main" id="{27F87C2F-0D65-43D2-9A9E-C5336FF698F5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04775" y="14668500"/>
          <a:ext cx="1085850" cy="666750"/>
        </a:xfrm>
        <a:prstGeom prst="rect">
          <a:avLst/>
        </a:prstGeom>
      </xdr:spPr>
    </xdr:pic>
    <xdr:clientData/>
  </xdr:oneCellAnchor>
  <xdr:oneCellAnchor>
    <xdr:from>
      <xdr:col>0</xdr:col>
      <xdr:colOff>142875</xdr:colOff>
      <xdr:row>22</xdr:row>
      <xdr:rowOff>180975</xdr:rowOff>
    </xdr:from>
    <xdr:ext cx="1143000" cy="457200"/>
    <xdr:pic>
      <xdr:nvPicPr>
        <xdr:cNvPr id="17" name="Image 17" descr="Picture">
          <a:extLst>
            <a:ext uri="{FF2B5EF4-FFF2-40B4-BE49-F238E27FC236}">
              <a16:creationId xmlns:a16="http://schemas.microsoft.com/office/drawing/2014/main" id="{F03009D0-C76D-4285-9CF4-792BDFA1AB7D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2875" y="15706725"/>
          <a:ext cx="1143000" cy="457200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5</xdr:row>
      <xdr:rowOff>209550</xdr:rowOff>
    </xdr:from>
    <xdr:ext cx="876300" cy="695325"/>
    <xdr:pic>
      <xdr:nvPicPr>
        <xdr:cNvPr id="18" name="Image 18" descr="Picture">
          <a:extLst>
            <a:ext uri="{FF2B5EF4-FFF2-40B4-BE49-F238E27FC236}">
              <a16:creationId xmlns:a16="http://schemas.microsoft.com/office/drawing/2014/main" id="{4C75B628-F52E-4406-90AF-4F990B1D3C5A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90500" y="16744950"/>
          <a:ext cx="876300" cy="695325"/>
        </a:xfrm>
        <a:prstGeom prst="rect">
          <a:avLst/>
        </a:prstGeom>
      </xdr:spPr>
    </xdr:pic>
    <xdr:clientData/>
  </xdr:oneCellAnchor>
  <xdr:oneCellAnchor>
    <xdr:from>
      <xdr:col>0</xdr:col>
      <xdr:colOff>238125</xdr:colOff>
      <xdr:row>6</xdr:row>
      <xdr:rowOff>161925</xdr:rowOff>
    </xdr:from>
    <xdr:ext cx="723900" cy="752475"/>
    <xdr:pic>
      <xdr:nvPicPr>
        <xdr:cNvPr id="19" name="Image 19" descr="Picture">
          <a:extLst>
            <a:ext uri="{FF2B5EF4-FFF2-40B4-BE49-F238E27FC236}">
              <a16:creationId xmlns:a16="http://schemas.microsoft.com/office/drawing/2014/main" id="{B451EC27-F6C4-4A3A-83A7-7BAF8C24BEA2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238125" y="17706975"/>
          <a:ext cx="723900" cy="752475"/>
        </a:xfrm>
        <a:prstGeom prst="rect">
          <a:avLst/>
        </a:prstGeom>
      </xdr:spPr>
    </xdr:pic>
    <xdr:clientData/>
  </xdr:oneCellAnchor>
  <xdr:oneCellAnchor>
    <xdr:from>
      <xdr:col>0</xdr:col>
      <xdr:colOff>95250</xdr:colOff>
      <xdr:row>7</xdr:row>
      <xdr:rowOff>200025</xdr:rowOff>
    </xdr:from>
    <xdr:ext cx="1143000" cy="447675"/>
    <xdr:pic>
      <xdr:nvPicPr>
        <xdr:cNvPr id="20" name="Image 20" descr="Picture">
          <a:extLst>
            <a:ext uri="{FF2B5EF4-FFF2-40B4-BE49-F238E27FC236}">
              <a16:creationId xmlns:a16="http://schemas.microsoft.com/office/drawing/2014/main" id="{255BA8BA-7B4A-43C8-B78B-EE27B02ACBD6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95250" y="6638925"/>
          <a:ext cx="1143000" cy="447675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8</xdr:row>
      <xdr:rowOff>104775</xdr:rowOff>
    </xdr:from>
    <xdr:ext cx="762000" cy="666750"/>
    <xdr:pic>
      <xdr:nvPicPr>
        <xdr:cNvPr id="21" name="Image 21" descr="Picture">
          <a:extLst>
            <a:ext uri="{FF2B5EF4-FFF2-40B4-BE49-F238E27FC236}">
              <a16:creationId xmlns:a16="http://schemas.microsoft.com/office/drawing/2014/main" id="{3873F461-98DB-41C7-AAE7-76D969668402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266700" y="19669125"/>
          <a:ext cx="762000" cy="666750"/>
        </a:xfrm>
        <a:prstGeom prst="rect">
          <a:avLst/>
        </a:prstGeom>
      </xdr:spPr>
    </xdr:pic>
    <xdr:clientData/>
  </xdr:oneCellAnchor>
  <xdr:twoCellAnchor editAs="oneCell">
    <xdr:from>
      <xdr:col>0</xdr:col>
      <xdr:colOff>152401</xdr:colOff>
      <xdr:row>24</xdr:row>
      <xdr:rowOff>100013</xdr:rowOff>
    </xdr:from>
    <xdr:to>
      <xdr:col>0</xdr:col>
      <xdr:colOff>1028701</xdr:colOff>
      <xdr:row>24</xdr:row>
      <xdr:rowOff>852600</xdr:rowOff>
    </xdr:to>
    <xdr:pic>
      <xdr:nvPicPr>
        <xdr:cNvPr id="23" name="圖片 22">
          <a:extLst>
            <a:ext uri="{FF2B5EF4-FFF2-40B4-BE49-F238E27FC236}">
              <a16:creationId xmlns:a16="http://schemas.microsoft.com/office/drawing/2014/main" id="{BAA10FFE-5D66-0693-40F7-C2321FD51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2401" y="23812501"/>
          <a:ext cx="876300" cy="752587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25</xdr:row>
      <xdr:rowOff>100013</xdr:rowOff>
    </xdr:from>
    <xdr:to>
      <xdr:col>0</xdr:col>
      <xdr:colOff>1114425</xdr:colOff>
      <xdr:row>25</xdr:row>
      <xdr:rowOff>953542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16A4A939-7F9E-302E-66E4-B6ABCA211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8601" y="24826913"/>
          <a:ext cx="885824" cy="853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304800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AEA6DF6-0463-5EE0-49C4-44642F47476C}"/>
            </a:ext>
          </a:extLst>
        </xdr:cNvPr>
        <xdr:cNvSpPr>
          <a:spLocks noChangeAspect="1" noChangeArrowheads="1"/>
        </xdr:cNvSpPr>
      </xdr:nvSpPr>
      <xdr:spPr bwMode="auto">
        <a:xfrm>
          <a:off x="0" y="13954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304800</xdr:colOff>
      <xdr:row>5</xdr:row>
      <xdr:rowOff>304800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7EF60FFA-A036-A620-8605-961768EAAD9A}"/>
            </a:ext>
          </a:extLst>
        </xdr:cNvPr>
        <xdr:cNvSpPr>
          <a:spLocks noChangeAspect="1" noChangeArrowheads="1"/>
        </xdr:cNvSpPr>
      </xdr:nvSpPr>
      <xdr:spPr bwMode="auto">
        <a:xfrm>
          <a:off x="11391900" y="545306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219075</xdr:colOff>
      <xdr:row>23</xdr:row>
      <xdr:rowOff>147638</xdr:rowOff>
    </xdr:from>
    <xdr:to>
      <xdr:col>0</xdr:col>
      <xdr:colOff>1115118</xdr:colOff>
      <xdr:row>23</xdr:row>
      <xdr:rowOff>919163</xdr:rowOff>
    </xdr:to>
    <xdr:pic>
      <xdr:nvPicPr>
        <xdr:cNvPr id="26" name="圖片 25">
          <a:extLst>
            <a:ext uri="{FF2B5EF4-FFF2-40B4-BE49-F238E27FC236}">
              <a16:creationId xmlns:a16="http://schemas.microsoft.com/office/drawing/2014/main" id="{77A88DFA-83CD-448D-9BDA-23285347A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9075" y="22845713"/>
          <a:ext cx="896043" cy="77152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CF6B-2A9E-4A21-AABA-CC3CC7B98982}">
  <dimension ref="A1:E35"/>
  <sheetViews>
    <sheetView tabSelected="1" zoomScale="70" zoomScaleNormal="70" workbookViewId="0">
      <selection activeCell="K5" sqref="K5"/>
    </sheetView>
  </sheetViews>
  <sheetFormatPr defaultRowHeight="15" x14ac:dyDescent="0.45"/>
  <cols>
    <col min="1" max="1" width="20" customWidth="1"/>
    <col min="2" max="2" width="30" style="6" customWidth="1"/>
    <col min="3" max="3" width="10" style="6" customWidth="1"/>
    <col min="4" max="4" width="21.92578125" style="6" customWidth="1"/>
    <col min="5" max="5" width="18.78515625" style="6" customWidth="1"/>
  </cols>
  <sheetData>
    <row r="1" spans="1:5" ht="30" customHeight="1" x14ac:dyDescent="0.45">
      <c r="A1" s="1" t="s">
        <v>0</v>
      </c>
      <c r="B1" s="1" t="s">
        <v>1</v>
      </c>
      <c r="C1" s="1" t="s">
        <v>2</v>
      </c>
      <c r="D1" s="1" t="s">
        <v>48</v>
      </c>
      <c r="E1" s="1" t="s">
        <v>65</v>
      </c>
    </row>
    <row r="2" spans="1:5" ht="80.099999999999994" customHeight="1" x14ac:dyDescent="0.45">
      <c r="A2" s="2"/>
      <c r="B2" s="3" t="s">
        <v>26</v>
      </c>
      <c r="C2" s="3">
        <v>1</v>
      </c>
      <c r="D2" s="5" t="s">
        <v>52</v>
      </c>
      <c r="E2" s="5">
        <v>1</v>
      </c>
    </row>
    <row r="3" spans="1:5" ht="80.099999999999994" customHeight="1" x14ac:dyDescent="0.45">
      <c r="A3" s="2"/>
      <c r="B3" s="3" t="s">
        <v>3</v>
      </c>
      <c r="C3" s="3">
        <v>1</v>
      </c>
      <c r="D3" s="5" t="s">
        <v>53</v>
      </c>
      <c r="E3" s="5">
        <v>1</v>
      </c>
    </row>
    <row r="4" spans="1:5" ht="80.099999999999994" customHeight="1" x14ac:dyDescent="0.45">
      <c r="A4" s="2"/>
      <c r="B4" s="3" t="s">
        <v>4</v>
      </c>
      <c r="C4" s="3">
        <v>1</v>
      </c>
      <c r="D4" s="5" t="s">
        <v>49</v>
      </c>
      <c r="E4" s="5" t="s">
        <v>66</v>
      </c>
    </row>
    <row r="5" spans="1:5" ht="80.099999999999994" customHeight="1" x14ac:dyDescent="0.45">
      <c r="A5" s="2"/>
      <c r="B5" s="3" t="s">
        <v>5</v>
      </c>
      <c r="C5" s="3">
        <v>1</v>
      </c>
      <c r="D5" s="5" t="s">
        <v>53</v>
      </c>
      <c r="E5" s="5">
        <v>2</v>
      </c>
    </row>
    <row r="6" spans="1:5" ht="80.099999999999994" customHeight="1" x14ac:dyDescent="0.45">
      <c r="A6" s="2"/>
      <c r="B6" s="3" t="s">
        <v>6</v>
      </c>
      <c r="C6" s="3">
        <v>1</v>
      </c>
      <c r="D6" s="5" t="s">
        <v>49</v>
      </c>
      <c r="E6" s="5" t="s">
        <v>66</v>
      </c>
    </row>
    <row r="7" spans="1:5" ht="80.099999999999994" customHeight="1" x14ac:dyDescent="0.45">
      <c r="A7" s="2"/>
      <c r="B7" s="3" t="s">
        <v>7</v>
      </c>
      <c r="C7" s="3">
        <v>1</v>
      </c>
      <c r="D7" s="5" t="s">
        <v>54</v>
      </c>
      <c r="E7" s="5">
        <v>1</v>
      </c>
    </row>
    <row r="8" spans="1:5" ht="80.099999999999994" customHeight="1" x14ac:dyDescent="0.45">
      <c r="A8" s="2"/>
      <c r="B8" s="3" t="s">
        <v>8</v>
      </c>
      <c r="C8" s="3">
        <v>1</v>
      </c>
      <c r="D8" s="5" t="s">
        <v>54</v>
      </c>
      <c r="E8" s="5">
        <v>1</v>
      </c>
    </row>
    <row r="9" spans="1:5" ht="80.099999999999994" customHeight="1" x14ac:dyDescent="0.45">
      <c r="A9" s="2"/>
      <c r="B9" s="3" t="s">
        <v>9</v>
      </c>
      <c r="C9" s="3">
        <v>1</v>
      </c>
      <c r="D9" s="5" t="s">
        <v>54</v>
      </c>
      <c r="E9" s="5">
        <v>1</v>
      </c>
    </row>
    <row r="10" spans="1:5" ht="80.099999999999994" customHeight="1" x14ac:dyDescent="0.45">
      <c r="A10" s="2"/>
      <c r="B10" s="3" t="s">
        <v>10</v>
      </c>
      <c r="C10" s="3">
        <v>1</v>
      </c>
      <c r="D10" s="5" t="s">
        <v>60</v>
      </c>
      <c r="E10" s="5">
        <v>2</v>
      </c>
    </row>
    <row r="11" spans="1:5" ht="80.099999999999994" customHeight="1" x14ac:dyDescent="0.45">
      <c r="A11" s="2"/>
      <c r="B11" s="3" t="s">
        <v>11</v>
      </c>
      <c r="C11" s="3">
        <v>1</v>
      </c>
      <c r="D11" s="5" t="s">
        <v>54</v>
      </c>
      <c r="E11" s="5">
        <v>1</v>
      </c>
    </row>
    <row r="12" spans="1:5" ht="80.099999999999994" customHeight="1" x14ac:dyDescent="0.45">
      <c r="A12" s="2"/>
      <c r="B12" s="3" t="s">
        <v>43</v>
      </c>
      <c r="C12" s="3">
        <v>7</v>
      </c>
      <c r="D12" s="5" t="s">
        <v>55</v>
      </c>
      <c r="E12" s="5">
        <v>1</v>
      </c>
    </row>
    <row r="13" spans="1:5" ht="80.099999999999994" customHeight="1" x14ac:dyDescent="0.45">
      <c r="A13" s="2"/>
      <c r="B13" s="3" t="s">
        <v>44</v>
      </c>
      <c r="C13" s="3">
        <v>6</v>
      </c>
      <c r="D13" s="5" t="s">
        <v>55</v>
      </c>
      <c r="E13" s="5">
        <v>2</v>
      </c>
    </row>
    <row r="14" spans="1:5" ht="80.099999999999994" customHeight="1" x14ac:dyDescent="0.45">
      <c r="A14" s="2"/>
      <c r="B14" s="3" t="s">
        <v>45</v>
      </c>
      <c r="C14" s="3">
        <v>2</v>
      </c>
      <c r="D14" s="5" t="s">
        <v>62</v>
      </c>
      <c r="E14" s="5">
        <v>1</v>
      </c>
    </row>
    <row r="15" spans="1:5" ht="80.099999999999994" customHeight="1" x14ac:dyDescent="0.45">
      <c r="A15" s="2"/>
      <c r="B15" s="3" t="s">
        <v>47</v>
      </c>
      <c r="C15" s="3">
        <v>5</v>
      </c>
      <c r="D15" s="5" t="s">
        <v>56</v>
      </c>
      <c r="E15" s="5">
        <v>1</v>
      </c>
    </row>
    <row r="16" spans="1:5" ht="80.099999999999994" customHeight="1" x14ac:dyDescent="0.45">
      <c r="A16" s="2"/>
      <c r="B16" s="3" t="s">
        <v>46</v>
      </c>
      <c r="C16" s="3">
        <v>6</v>
      </c>
      <c r="D16" s="5" t="s">
        <v>56</v>
      </c>
      <c r="E16" s="5">
        <v>2</v>
      </c>
    </row>
    <row r="17" spans="1:5" ht="80.099999999999994" customHeight="1" x14ac:dyDescent="0.45">
      <c r="A17" s="2"/>
      <c r="B17" s="3" t="s">
        <v>13</v>
      </c>
      <c r="C17" s="3">
        <v>1</v>
      </c>
      <c r="D17" s="5" t="s">
        <v>54</v>
      </c>
      <c r="E17" s="5">
        <v>1</v>
      </c>
    </row>
    <row r="18" spans="1:5" ht="80.099999999999994" customHeight="1" x14ac:dyDescent="0.45">
      <c r="A18" s="2"/>
      <c r="B18" s="3" t="s">
        <v>14</v>
      </c>
      <c r="C18" s="3">
        <v>1</v>
      </c>
      <c r="D18" s="5" t="s">
        <v>54</v>
      </c>
      <c r="E18" s="5">
        <v>1</v>
      </c>
    </row>
    <row r="19" spans="1:5" ht="80.099999999999994" customHeight="1" x14ac:dyDescent="0.45">
      <c r="A19" s="2"/>
      <c r="B19" s="3" t="s">
        <v>15</v>
      </c>
      <c r="C19" s="3">
        <v>6</v>
      </c>
      <c r="D19" s="5" t="s">
        <v>57</v>
      </c>
      <c r="E19" s="5">
        <v>1</v>
      </c>
    </row>
    <row r="20" spans="1:5" ht="80.099999999999994" customHeight="1" x14ac:dyDescent="0.45">
      <c r="A20" s="2"/>
      <c r="B20" s="3" t="s">
        <v>16</v>
      </c>
      <c r="C20" s="3">
        <v>1</v>
      </c>
      <c r="D20" s="5" t="s">
        <v>54</v>
      </c>
      <c r="E20" s="5">
        <v>1</v>
      </c>
    </row>
    <row r="21" spans="1:5" ht="80.099999999999994" customHeight="1" x14ac:dyDescent="0.45">
      <c r="A21" s="2"/>
      <c r="B21" s="3" t="s">
        <v>17</v>
      </c>
      <c r="C21" s="3">
        <v>1</v>
      </c>
      <c r="D21" s="5" t="s">
        <v>54</v>
      </c>
      <c r="E21" s="5">
        <v>1</v>
      </c>
    </row>
    <row r="22" spans="1:5" ht="80.099999999999994" customHeight="1" x14ac:dyDescent="0.45">
      <c r="A22" s="2"/>
      <c r="B22" s="3" t="s">
        <v>18</v>
      </c>
      <c r="C22" s="3">
        <v>3</v>
      </c>
      <c r="D22" s="5" t="s">
        <v>58</v>
      </c>
      <c r="E22" s="5">
        <v>1</v>
      </c>
    </row>
    <row r="23" spans="1:5" ht="80.099999999999994" customHeight="1" x14ac:dyDescent="0.45">
      <c r="A23" s="2"/>
      <c r="B23" s="3" t="s">
        <v>19</v>
      </c>
      <c r="C23" s="3">
        <v>1</v>
      </c>
      <c r="D23" s="5" t="s">
        <v>58</v>
      </c>
      <c r="E23" s="5">
        <v>2</v>
      </c>
    </row>
    <row r="24" spans="1:5" ht="80.099999999999994" customHeight="1" x14ac:dyDescent="0.45">
      <c r="A24" s="2"/>
      <c r="B24" s="3" t="s">
        <v>20</v>
      </c>
      <c r="C24" s="3">
        <v>1</v>
      </c>
      <c r="D24" s="5" t="s">
        <v>59</v>
      </c>
      <c r="E24" s="5">
        <v>1</v>
      </c>
    </row>
    <row r="25" spans="1:5" ht="80.099999999999994" customHeight="1" x14ac:dyDescent="0.45">
      <c r="A25" s="2"/>
      <c r="B25" s="3" t="s">
        <v>21</v>
      </c>
      <c r="C25" s="3">
        <v>1</v>
      </c>
      <c r="D25" s="5" t="s">
        <v>59</v>
      </c>
      <c r="E25" s="5">
        <v>1</v>
      </c>
    </row>
    <row r="26" spans="1:5" ht="80.099999999999994" customHeight="1" x14ac:dyDescent="0.45">
      <c r="A26" s="5" t="e" vm="1">
        <v>#VALUE!</v>
      </c>
      <c r="B26" s="5" t="s">
        <v>23</v>
      </c>
      <c r="C26" s="5">
        <v>1</v>
      </c>
      <c r="D26" s="5" t="s">
        <v>60</v>
      </c>
      <c r="E26" s="5">
        <v>1</v>
      </c>
    </row>
    <row r="27" spans="1:5" ht="80.099999999999994" customHeight="1" x14ac:dyDescent="0.45">
      <c r="A27" s="4" t="e" vm="2">
        <v>#VALUE!</v>
      </c>
      <c r="B27" s="5" t="s">
        <v>24</v>
      </c>
      <c r="C27" s="5">
        <v>1</v>
      </c>
      <c r="D27" s="5" t="s">
        <v>60</v>
      </c>
      <c r="E27" s="5">
        <v>1</v>
      </c>
    </row>
    <row r="28" spans="1:5" ht="80" customHeight="1" x14ac:dyDescent="0.45">
      <c r="A28" s="2"/>
      <c r="B28" s="5" t="s">
        <v>50</v>
      </c>
      <c r="C28" s="5">
        <v>1</v>
      </c>
      <c r="D28" s="5" t="s">
        <v>61</v>
      </c>
      <c r="E28" s="5">
        <v>1</v>
      </c>
    </row>
    <row r="29" spans="1:5" ht="80" customHeight="1" x14ac:dyDescent="0.45">
      <c r="A29" s="2"/>
      <c r="B29" s="5" t="s">
        <v>41</v>
      </c>
      <c r="C29" s="5">
        <v>1</v>
      </c>
      <c r="D29" s="5" t="s">
        <v>60</v>
      </c>
      <c r="E29" s="5">
        <v>1</v>
      </c>
    </row>
    <row r="30" spans="1:5" ht="80" customHeight="1" x14ac:dyDescent="0.45">
      <c r="A30" s="2"/>
      <c r="B30" s="5" t="s">
        <v>42</v>
      </c>
      <c r="C30" s="5">
        <v>1</v>
      </c>
      <c r="D30" s="5" t="s">
        <v>62</v>
      </c>
      <c r="E30" s="5">
        <v>1</v>
      </c>
    </row>
    <row r="31" spans="1:5" ht="80" customHeight="1" x14ac:dyDescent="0.45">
      <c r="A31" s="2"/>
      <c r="B31" s="5" t="s">
        <v>51</v>
      </c>
      <c r="C31" s="5">
        <v>1</v>
      </c>
      <c r="D31" s="5" t="s">
        <v>57</v>
      </c>
      <c r="E31" s="5">
        <v>2</v>
      </c>
    </row>
    <row r="32" spans="1:5" ht="80" customHeight="1" x14ac:dyDescent="0.45">
      <c r="A32" s="2"/>
      <c r="B32" s="5" t="s">
        <v>64</v>
      </c>
      <c r="C32" s="5">
        <v>1</v>
      </c>
      <c r="D32" s="5" t="s">
        <v>63</v>
      </c>
      <c r="E32" s="5">
        <v>1</v>
      </c>
    </row>
    <row r="33" ht="80" customHeight="1" x14ac:dyDescent="0.45"/>
    <row r="34" ht="80" customHeight="1" x14ac:dyDescent="0.45"/>
    <row r="35" ht="80" customHeight="1" x14ac:dyDescent="0.45"/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9AD2-80EC-4264-98B9-865D2A2CC392}">
  <dimension ref="A1:J27"/>
  <sheetViews>
    <sheetView topLeftCell="A15" workbookViewId="0">
      <selection activeCell="C24" sqref="C24"/>
    </sheetView>
  </sheetViews>
  <sheetFormatPr defaultRowHeight="15" x14ac:dyDescent="0.45"/>
  <cols>
    <col min="1" max="1" width="20" customWidth="1"/>
    <col min="2" max="3" width="30" style="6" customWidth="1"/>
    <col min="4" max="4" width="10" style="6" customWidth="1"/>
    <col min="5" max="5" width="17.140625" style="6" bestFit="1" customWidth="1"/>
    <col min="6" max="6" width="22.42578125" style="6" bestFit="1" customWidth="1"/>
    <col min="7" max="7" width="23" style="6" customWidth="1"/>
  </cols>
  <sheetData>
    <row r="1" spans="1:10" ht="30" customHeight="1" x14ac:dyDescent="0.45">
      <c r="A1" s="1" t="s">
        <v>0</v>
      </c>
      <c r="B1" s="1" t="s">
        <v>1</v>
      </c>
      <c r="C1" s="1" t="s">
        <v>25</v>
      </c>
      <c r="D1" s="1" t="s">
        <v>2</v>
      </c>
      <c r="E1" s="1" t="s">
        <v>35</v>
      </c>
      <c r="F1" s="1" t="s">
        <v>36</v>
      </c>
      <c r="G1" s="1" t="s">
        <v>40</v>
      </c>
    </row>
    <row r="2" spans="1:10" ht="80.099999999999994" customHeight="1" x14ac:dyDescent="0.45">
      <c r="A2" s="2"/>
      <c r="B2" s="3" t="s">
        <v>26</v>
      </c>
      <c r="C2" s="3" t="s">
        <v>27</v>
      </c>
      <c r="D2" s="3">
        <v>1</v>
      </c>
      <c r="E2" s="5">
        <v>11</v>
      </c>
      <c r="F2" s="5">
        <v>134</v>
      </c>
      <c r="G2" s="5">
        <f>E2*F2</f>
        <v>1474</v>
      </c>
    </row>
    <row r="3" spans="1:10" ht="80.099999999999994" customHeight="1" x14ac:dyDescent="0.45">
      <c r="A3" s="2"/>
      <c r="B3" s="3" t="s">
        <v>3</v>
      </c>
      <c r="C3" s="3" t="s">
        <v>29</v>
      </c>
      <c r="D3" s="3">
        <v>1</v>
      </c>
      <c r="E3" s="5">
        <v>20</v>
      </c>
      <c r="F3" s="5">
        <v>7</v>
      </c>
      <c r="G3" s="5">
        <f>E3*F3</f>
        <v>140</v>
      </c>
    </row>
    <row r="4" spans="1:10" ht="80.099999999999994" customHeight="1" x14ac:dyDescent="0.45">
      <c r="A4" s="2"/>
      <c r="B4" s="3" t="s">
        <v>5</v>
      </c>
      <c r="C4" s="3" t="s">
        <v>30</v>
      </c>
      <c r="D4" s="3">
        <v>1</v>
      </c>
      <c r="E4" s="5">
        <v>50</v>
      </c>
      <c r="F4" s="5">
        <v>7</v>
      </c>
      <c r="G4" s="5">
        <f t="shared" ref="G4:G26" si="0">E4*F4</f>
        <v>350</v>
      </c>
    </row>
    <row r="5" spans="1:10" ht="80.099999999999994" customHeight="1" x14ac:dyDescent="0.45">
      <c r="A5" s="2"/>
      <c r="B5" s="3" t="s">
        <v>10</v>
      </c>
      <c r="C5" s="3" t="s">
        <v>31</v>
      </c>
      <c r="D5" s="3">
        <v>1</v>
      </c>
      <c r="E5" s="5">
        <v>10</v>
      </c>
      <c r="F5" s="5">
        <v>10</v>
      </c>
      <c r="G5" s="5">
        <f t="shared" si="0"/>
        <v>100</v>
      </c>
    </row>
    <row r="6" spans="1:10" ht="80.099999999999994" customHeight="1" x14ac:dyDescent="0.45">
      <c r="A6" s="2"/>
      <c r="B6" s="3" t="s">
        <v>18</v>
      </c>
      <c r="C6" s="3" t="s">
        <v>32</v>
      </c>
      <c r="D6" s="3">
        <v>3</v>
      </c>
      <c r="E6" s="5">
        <v>20</v>
      </c>
      <c r="F6" s="5">
        <v>37</v>
      </c>
      <c r="G6" s="5">
        <f t="shared" si="0"/>
        <v>740</v>
      </c>
    </row>
    <row r="7" spans="1:10" ht="80.099999999999994" customHeight="1" x14ac:dyDescent="0.45">
      <c r="A7" s="2"/>
      <c r="B7" s="3" t="s">
        <v>19</v>
      </c>
      <c r="C7" s="3" t="s">
        <v>32</v>
      </c>
      <c r="D7" s="3">
        <v>1</v>
      </c>
      <c r="E7" s="5">
        <v>20</v>
      </c>
      <c r="F7" s="5">
        <v>46</v>
      </c>
      <c r="G7" s="5">
        <f t="shared" si="0"/>
        <v>920</v>
      </c>
      <c r="I7" s="6"/>
      <c r="J7" s="6"/>
    </row>
    <row r="8" spans="1:10" ht="80.099999999999994" customHeight="1" x14ac:dyDescent="0.45">
      <c r="A8" s="2"/>
      <c r="B8" s="3" t="s">
        <v>37</v>
      </c>
      <c r="C8" s="3"/>
      <c r="D8" s="3">
        <v>1</v>
      </c>
      <c r="E8" s="5">
        <v>10</v>
      </c>
      <c r="F8" s="5">
        <v>25</v>
      </c>
      <c r="G8" s="5">
        <f t="shared" si="0"/>
        <v>250</v>
      </c>
    </row>
    <row r="9" spans="1:10" ht="80.099999999999994" customHeight="1" x14ac:dyDescent="0.45">
      <c r="A9" s="2"/>
      <c r="B9" s="3" t="s">
        <v>21</v>
      </c>
      <c r="C9" s="3"/>
      <c r="D9" s="3">
        <v>1</v>
      </c>
      <c r="E9" s="5">
        <v>10</v>
      </c>
      <c r="F9" s="5">
        <v>16</v>
      </c>
      <c r="G9" s="5">
        <f t="shared" si="0"/>
        <v>160</v>
      </c>
    </row>
    <row r="10" spans="1:10" ht="80.099999999999994" customHeight="1" x14ac:dyDescent="0.45">
      <c r="A10" s="5" t="e" vm="1">
        <v>#VALUE!</v>
      </c>
      <c r="B10" s="5" t="s">
        <v>23</v>
      </c>
      <c r="C10" s="5" t="s">
        <v>33</v>
      </c>
      <c r="D10" s="5">
        <v>1</v>
      </c>
      <c r="E10" s="5">
        <v>10</v>
      </c>
      <c r="F10" s="5">
        <v>9</v>
      </c>
      <c r="G10" s="5">
        <f t="shared" si="0"/>
        <v>90</v>
      </c>
    </row>
    <row r="11" spans="1:10" ht="80.099999999999994" customHeight="1" x14ac:dyDescent="0.45">
      <c r="A11" s="4" t="e" vm="2">
        <v>#VALUE!</v>
      </c>
      <c r="B11" s="5" t="s">
        <v>24</v>
      </c>
      <c r="C11" s="5"/>
      <c r="D11" s="5">
        <v>1</v>
      </c>
      <c r="E11" s="5">
        <v>2</v>
      </c>
      <c r="F11" s="5">
        <v>14</v>
      </c>
      <c r="G11" s="5">
        <f t="shared" si="0"/>
        <v>28</v>
      </c>
    </row>
    <row r="12" spans="1:10" ht="80.099999999999994" customHeight="1" x14ac:dyDescent="0.45">
      <c r="A12" s="2"/>
      <c r="B12" s="3" t="s">
        <v>12</v>
      </c>
      <c r="C12" s="3" t="s">
        <v>39</v>
      </c>
      <c r="D12" s="3" t="s">
        <v>22</v>
      </c>
      <c r="E12" s="5">
        <v>3</v>
      </c>
      <c r="F12" s="5">
        <v>204</v>
      </c>
      <c r="G12" s="5">
        <f t="shared" si="0"/>
        <v>612</v>
      </c>
    </row>
    <row r="13" spans="1:10" ht="80.099999999999994" customHeight="1" x14ac:dyDescent="0.45">
      <c r="A13" s="2"/>
      <c r="B13" s="3" t="s">
        <v>4</v>
      </c>
      <c r="C13" s="3"/>
      <c r="D13" s="3">
        <v>1</v>
      </c>
      <c r="E13" s="5"/>
      <c r="F13" s="5"/>
      <c r="G13" s="5">
        <f t="shared" si="0"/>
        <v>0</v>
      </c>
    </row>
    <row r="14" spans="1:10" ht="80.099999999999994" customHeight="1" x14ac:dyDescent="0.45">
      <c r="A14" s="2"/>
      <c r="B14" s="3" t="s">
        <v>6</v>
      </c>
      <c r="C14" s="3"/>
      <c r="D14" s="3">
        <v>1</v>
      </c>
      <c r="E14" s="5"/>
      <c r="F14" s="5"/>
      <c r="G14" s="5">
        <f t="shared" si="0"/>
        <v>0</v>
      </c>
    </row>
    <row r="15" spans="1:10" ht="80.099999999999994" customHeight="1" x14ac:dyDescent="0.45">
      <c r="A15" s="2"/>
      <c r="B15" s="3" t="s">
        <v>7</v>
      </c>
      <c r="C15" s="3"/>
      <c r="D15" s="3">
        <v>1</v>
      </c>
      <c r="E15" s="5"/>
      <c r="F15" s="5"/>
      <c r="G15" s="5">
        <f t="shared" si="0"/>
        <v>0</v>
      </c>
    </row>
    <row r="16" spans="1:10" ht="80.099999999999994" customHeight="1" x14ac:dyDescent="0.45">
      <c r="A16" s="2"/>
      <c r="B16" s="3" t="s">
        <v>8</v>
      </c>
      <c r="C16" s="3"/>
      <c r="D16" s="3">
        <v>1</v>
      </c>
      <c r="E16" s="5"/>
      <c r="F16" s="5"/>
      <c r="G16" s="5">
        <f t="shared" si="0"/>
        <v>0</v>
      </c>
    </row>
    <row r="17" spans="1:7" ht="80.099999999999994" customHeight="1" x14ac:dyDescent="0.45">
      <c r="A17" s="2"/>
      <c r="B17" s="3" t="s">
        <v>9</v>
      </c>
      <c r="C17" s="3"/>
      <c r="D17" s="3">
        <v>1</v>
      </c>
      <c r="E17" s="5"/>
      <c r="F17" s="5"/>
      <c r="G17" s="5">
        <f t="shared" si="0"/>
        <v>0</v>
      </c>
    </row>
    <row r="18" spans="1:7" ht="80.099999999999994" customHeight="1" x14ac:dyDescent="0.45">
      <c r="A18" s="2"/>
      <c r="B18" s="3" t="s">
        <v>11</v>
      </c>
      <c r="C18" s="3"/>
      <c r="D18" s="3">
        <v>1</v>
      </c>
      <c r="E18" s="5"/>
      <c r="F18" s="5"/>
      <c r="G18" s="5">
        <f t="shared" si="0"/>
        <v>0</v>
      </c>
    </row>
    <row r="19" spans="1:7" ht="80.099999999999994" customHeight="1" x14ac:dyDescent="0.45">
      <c r="A19" s="2"/>
      <c r="B19" s="3" t="s">
        <v>13</v>
      </c>
      <c r="C19" s="3"/>
      <c r="D19" s="3">
        <v>1</v>
      </c>
      <c r="E19" s="5"/>
      <c r="F19" s="5"/>
      <c r="G19" s="5">
        <f t="shared" si="0"/>
        <v>0</v>
      </c>
    </row>
    <row r="20" spans="1:7" ht="80.099999999999994" customHeight="1" x14ac:dyDescent="0.45">
      <c r="A20" s="2"/>
      <c r="B20" s="3" t="s">
        <v>14</v>
      </c>
      <c r="C20" s="3"/>
      <c r="D20" s="3">
        <v>1</v>
      </c>
      <c r="E20" s="5"/>
      <c r="F20" s="5"/>
      <c r="G20" s="5">
        <f t="shared" si="0"/>
        <v>0</v>
      </c>
    </row>
    <row r="21" spans="1:7" ht="80.099999999999994" customHeight="1" x14ac:dyDescent="0.45">
      <c r="A21" s="2"/>
      <c r="B21" s="3" t="s">
        <v>15</v>
      </c>
      <c r="C21" s="3" t="s">
        <v>34</v>
      </c>
      <c r="D21" s="3">
        <v>6</v>
      </c>
      <c r="E21" s="5"/>
      <c r="F21" s="5"/>
      <c r="G21" s="5">
        <f t="shared" si="0"/>
        <v>0</v>
      </c>
    </row>
    <row r="22" spans="1:7" ht="80.099999999999994" customHeight="1" x14ac:dyDescent="0.45">
      <c r="A22" s="2"/>
      <c r="B22" s="3" t="s">
        <v>16</v>
      </c>
      <c r="C22" s="3"/>
      <c r="D22" s="3">
        <v>1</v>
      </c>
      <c r="E22" s="5"/>
      <c r="F22" s="5"/>
      <c r="G22" s="5">
        <f t="shared" si="0"/>
        <v>0</v>
      </c>
    </row>
    <row r="23" spans="1:7" ht="80.099999999999994" customHeight="1" x14ac:dyDescent="0.45">
      <c r="A23" s="2"/>
      <c r="B23" s="3" t="s">
        <v>17</v>
      </c>
      <c r="C23" s="3"/>
      <c r="D23" s="3">
        <v>1</v>
      </c>
      <c r="E23" s="5"/>
      <c r="F23" s="5"/>
      <c r="G23" s="5">
        <f t="shared" si="0"/>
        <v>0</v>
      </c>
    </row>
    <row r="24" spans="1:7" ht="80.099999999999994" customHeight="1" x14ac:dyDescent="0.45">
      <c r="A24" s="5"/>
      <c r="B24" s="5" t="s">
        <v>28</v>
      </c>
      <c r="C24" s="5" t="s">
        <v>38</v>
      </c>
      <c r="D24" s="5">
        <v>1</v>
      </c>
      <c r="E24" s="5">
        <v>10</v>
      </c>
      <c r="F24" s="5">
        <v>10</v>
      </c>
      <c r="G24" s="5">
        <f t="shared" si="0"/>
        <v>100</v>
      </c>
    </row>
    <row r="25" spans="1:7" ht="80.099999999999994" customHeight="1" x14ac:dyDescent="0.45">
      <c r="A25" s="5"/>
      <c r="B25" s="5" t="s">
        <v>41</v>
      </c>
      <c r="C25" s="5"/>
      <c r="D25" s="5">
        <v>1</v>
      </c>
      <c r="E25" s="5">
        <v>5</v>
      </c>
      <c r="F25" s="5">
        <v>4</v>
      </c>
      <c r="G25" s="5">
        <f t="shared" si="0"/>
        <v>20</v>
      </c>
    </row>
    <row r="26" spans="1:7" ht="80.099999999999994" customHeight="1" x14ac:dyDescent="0.45">
      <c r="A26" s="5"/>
      <c r="B26" s="5" t="s">
        <v>42</v>
      </c>
      <c r="C26" s="5"/>
      <c r="D26" s="5">
        <v>1</v>
      </c>
      <c r="E26" s="5">
        <v>10</v>
      </c>
      <c r="F26" s="5">
        <v>4</v>
      </c>
      <c r="G26" s="5">
        <f t="shared" si="0"/>
        <v>40</v>
      </c>
    </row>
    <row r="27" spans="1:7" x14ac:dyDescent="0.45">
      <c r="G27" s="6">
        <f>SUM(G2:G26)</f>
        <v>5024</v>
      </c>
    </row>
  </sheetData>
  <phoneticPr fontId="3" type="noConversion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電流急急棒零件清單</vt:lpstr>
      <vt:lpstr>電流急急棒零件清單 _排板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弘仁 陳</cp:lastModifiedBy>
  <dcterms:created xsi:type="dcterms:W3CDTF">2025-09-14T04:17:23Z</dcterms:created>
  <dcterms:modified xsi:type="dcterms:W3CDTF">2026-03-22T13:14:29Z</dcterms:modified>
</cp:coreProperties>
</file>